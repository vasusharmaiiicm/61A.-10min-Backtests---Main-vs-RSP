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J:\All Data\61. 10min Backtests\"/>
    </mc:Choice>
  </mc:AlternateContent>
  <xr:revisionPtr revIDLastSave="0" documentId="13_ncr:1_{AAF5549A-A484-4264-8F25-9FFB1B62A750}" xr6:coauthVersionLast="47" xr6:coauthVersionMax="47" xr10:uidLastSave="{00000000-0000-0000-0000-000000000000}"/>
  <bookViews>
    <workbookView minimized="1" xWindow="900" yWindow="900" windowWidth="17280" windowHeight="903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D30" i="2"/>
  <c r="D29" i="2"/>
  <c r="D28" i="2"/>
  <c r="D27" i="2"/>
  <c r="D26" i="2"/>
  <c r="D22" i="2"/>
  <c r="D23" i="2"/>
  <c r="D25" i="2"/>
  <c r="D20" i="2"/>
  <c r="D19" i="2"/>
  <c r="D6" i="2"/>
  <c r="D12" i="2"/>
  <c r="D13" i="2"/>
  <c r="D14" i="2"/>
  <c r="D15" i="2"/>
  <c r="D16" i="2"/>
  <c r="D17" i="2"/>
  <c r="D18" i="2"/>
  <c r="D2" i="2"/>
  <c r="G12" i="1"/>
  <c r="G13" i="1"/>
  <c r="G11" i="1"/>
  <c r="G8" i="1"/>
  <c r="G6" i="1"/>
  <c r="I3" i="1"/>
  <c r="H2" i="1"/>
  <c r="I2" i="1"/>
  <c r="G2" i="1"/>
</calcChain>
</file>

<file path=xl/sharedStrings.xml><?xml version="1.0" encoding="utf-8"?>
<sst xmlns="http://schemas.openxmlformats.org/spreadsheetml/2006/main" count="61" uniqueCount="53">
  <si>
    <t>HY vs SPX</t>
  </si>
  <si>
    <t>HY vs RTY</t>
  </si>
  <si>
    <t>Main vs SX5E</t>
  </si>
  <si>
    <t>Xover vs SX5E</t>
  </si>
  <si>
    <t>IG vs Main</t>
  </si>
  <si>
    <t>M hy done =&gt;</t>
  </si>
  <si>
    <t>Main vs Xover</t>
  </si>
  <si>
    <t>HY vs Xover</t>
  </si>
  <si>
    <t>HY Basis</t>
  </si>
  <si>
    <t>EM Basis</t>
  </si>
  <si>
    <t>IG 5y Basis</t>
  </si>
  <si>
    <t>IG vs SPX</t>
  </si>
  <si>
    <t>IG vs RTY</t>
  </si>
  <si>
    <t>IG vs RSP</t>
  </si>
  <si>
    <t>HY vs RSP</t>
  </si>
  <si>
    <t>IG vs IG Eqty</t>
  </si>
  <si>
    <t>HY vs HY Eqty</t>
  </si>
  <si>
    <t>IG_SPX</t>
  </si>
  <si>
    <t>IG_RTY</t>
  </si>
  <si>
    <t>IG_RSP</t>
  </si>
  <si>
    <t>IG_IGEqty</t>
  </si>
  <si>
    <t>HY_SPX</t>
  </si>
  <si>
    <t>HY_RTY</t>
  </si>
  <si>
    <t>HY_RSP</t>
  </si>
  <si>
    <t>HY_HYEqty</t>
  </si>
  <si>
    <t>Main_SX5E</t>
  </si>
  <si>
    <t>Xover_SX5E</t>
  </si>
  <si>
    <t>IG_Main</t>
  </si>
  <si>
    <t>Main_Xover</t>
  </si>
  <si>
    <t>HY_Xover</t>
  </si>
  <si>
    <t>IG Basis</t>
  </si>
  <si>
    <t>EM Bais</t>
  </si>
  <si>
    <t>IG_EMB_Basis</t>
  </si>
  <si>
    <t>Not'l</t>
  </si>
  <si>
    <t>$ vol</t>
  </si>
  <si>
    <t>Product</t>
  </si>
  <si>
    <t>From previous Sheet1</t>
  </si>
  <si>
    <t>Same as IG vs SPX</t>
  </si>
  <si>
    <t>Same as HY vs SPX</t>
  </si>
  <si>
    <t>earlier vol =</t>
  </si>
  <si>
    <t>IG_HY</t>
  </si>
  <si>
    <t>IG10_LQD_Basis</t>
  </si>
  <si>
    <t>Xover_SPX</t>
  </si>
  <si>
    <t>EM_HY</t>
  </si>
  <si>
    <t>EM_Xover</t>
  </si>
  <si>
    <t>IG_EM</t>
  </si>
  <si>
    <t>Main_EM</t>
  </si>
  <si>
    <t>Same as IG vs EM</t>
  </si>
  <si>
    <t>EEM_EMB</t>
  </si>
  <si>
    <t>EM_EEM</t>
  </si>
  <si>
    <t>Snrfin vs SX7E</t>
  </si>
  <si>
    <t>IG vs VIX</t>
  </si>
  <si>
    <t>IG vs UVXY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</si>
</sst>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419100</xdr:colOff>
      <xdr:row>7</xdr:row>
      <xdr:rowOff>76200</xdr:rowOff>
    </xdr:from>
    <xdr:to>
      <xdr:col>28</xdr:col>
      <xdr:colOff>163336</xdr:colOff>
      <xdr:row>19</xdr:row>
      <xdr:rowOff>105098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9E82E-D377-71A2-A1C9-E27292E21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5725" y="1409700"/>
          <a:ext cx="10107436" cy="2314898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22</xdr:row>
      <xdr:rowOff>0</xdr:rowOff>
    </xdr:from>
    <xdr:to>
      <xdr:col>25</xdr:col>
      <xdr:colOff>258252</xdr:colOff>
      <xdr:row>33</xdr:row>
      <xdr:rowOff>124135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3117B5-6E5B-4606-6FEB-CCD505593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2950" y="4191000"/>
          <a:ext cx="7716327" cy="2219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568117</xdr:colOff>
      <xdr:row>5</xdr:row>
      <xdr:rowOff>7620</xdr:rowOff>
    </xdr:from>
    <xdr:to>
      <xdr:col>12</xdr:col>
      <xdr:colOff>109823</xdr:colOff>
      <xdr:row>12</xdr:row>
      <xdr:rowOff>17456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20C4BD-90D9-1061-B8CE-475C8FE8D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2357" y="922020"/>
          <a:ext cx="5485306" cy="1289996"/>
        </a:xfrm>
        <a:prstGeom prst="rect">
          <a:avLst/>
        </a:prstGeom>
      </xdr:spPr>
    </xdr:pic>
    <xdr:clientData/>
  </xdr:twoCellAnchor>
  <xdr:twoCellAnchor editAs="oneCell">
    <xdr:from>
      <xdr:col>4</xdr:col>
      <xdr:colOff>607695</xdr:colOff>
      <xdr:row>12</xdr:row>
      <xdr:rowOff>36195</xdr:rowOff>
    </xdr:from>
    <xdr:to>
      <xdr:col>12</xdr:col>
      <xdr:colOff>137160</xdr:colOff>
      <xdr:row>18</xdr:row>
      <xdr:rowOff>89993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4E122E-04BF-90A3-897B-A740FEBE0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1935" y="2230755"/>
          <a:ext cx="5473065" cy="1151078"/>
        </a:xfrm>
        <a:prstGeom prst="rect">
          <a:avLst/>
        </a:prstGeom>
      </xdr:spPr>
    </xdr:pic>
    <xdr:clientData/>
  </xdr:twoCellAnchor>
  <xdr:twoCellAnchor editAs="oneCell">
    <xdr:from>
      <xdr:col>5</xdr:col>
      <xdr:colOff>358140</xdr:colOff>
      <xdr:row>18</xdr:row>
      <xdr:rowOff>106680</xdr:rowOff>
    </xdr:from>
    <xdr:to>
      <xdr:col>16</xdr:col>
      <xdr:colOff>243312</xdr:colOff>
      <xdr:row>26</xdr:row>
      <xdr:rowOff>22973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8F0B58-B195-2D6E-AD80-5E0992D2B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7220" y="3398520"/>
          <a:ext cx="7703292" cy="1379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I2" sqref="I2"/>
    </sheetView>
  </sheetViews>
  <sheetFormatPr defaultRowHeight="14.4" x14ac:dyDescent="0.3"/>
  <cols>
    <col min="1" max="1" width="13.109375" bestFit="1" customWidth="1"/>
    <col min="6" max="6" width="13.88671875" style="1" bestFit="1" customWidth="1"/>
    <col min="7" max="9" width="9.109375" style="1"/>
  </cols>
  <sheetData>
    <row r="1" spans="1:9" x14ac:dyDescent="0.3">
      <c r="F1" s="1">
        <v>6</v>
      </c>
    </row>
    <row r="2" spans="1:9" x14ac:dyDescent="0.3">
      <c r="A2" t="s">
        <v>0</v>
      </c>
      <c r="B2">
        <v>10</v>
      </c>
      <c r="C2">
        <v>3.6</v>
      </c>
      <c r="D2">
        <v>22048</v>
      </c>
      <c r="F2" s="1" t="s">
        <v>5</v>
      </c>
      <c r="G2" s="1">
        <f>$F$1/$B2*B2</f>
        <v>6</v>
      </c>
      <c r="H2" s="1">
        <f t="shared" ref="H2:I2" si="0">$F$1/$B2*C2</f>
        <v>2.16</v>
      </c>
      <c r="I2" s="1">
        <f t="shared" si="0"/>
        <v>13228.8</v>
      </c>
    </row>
    <row r="3" spans="1:9" x14ac:dyDescent="0.3">
      <c r="A3" t="s">
        <v>1</v>
      </c>
      <c r="B3">
        <v>10</v>
      </c>
      <c r="C3">
        <v>2.2999999999999998</v>
      </c>
      <c r="D3">
        <v>23680</v>
      </c>
      <c r="G3" s="1">
        <v>6</v>
      </c>
      <c r="I3" s="1">
        <f>0.6*D3</f>
        <v>14208</v>
      </c>
    </row>
    <row r="4" spans="1:9" x14ac:dyDescent="0.3">
      <c r="A4" t="s">
        <v>2</v>
      </c>
      <c r="B4">
        <v>10</v>
      </c>
      <c r="G4" s="1">
        <v>30</v>
      </c>
    </row>
    <row r="5" spans="1:9" x14ac:dyDescent="0.3">
      <c r="A5" t="s">
        <v>3</v>
      </c>
      <c r="B5">
        <v>10</v>
      </c>
      <c r="G5" s="1">
        <v>6</v>
      </c>
    </row>
    <row r="6" spans="1:9" x14ac:dyDescent="0.3">
      <c r="A6" t="s">
        <v>4</v>
      </c>
      <c r="B6">
        <v>10</v>
      </c>
      <c r="C6">
        <v>7.9</v>
      </c>
      <c r="D6">
        <v>2604</v>
      </c>
      <c r="G6" s="1">
        <f>I2/D6*B6</f>
        <v>50.801843317972349</v>
      </c>
    </row>
    <row r="7" spans="1:9" x14ac:dyDescent="0.3">
      <c r="A7" t="s">
        <v>6</v>
      </c>
      <c r="B7">
        <v>10</v>
      </c>
      <c r="C7">
        <v>2.5</v>
      </c>
      <c r="D7">
        <v>1978</v>
      </c>
      <c r="G7" s="1">
        <v>30</v>
      </c>
    </row>
    <row r="8" spans="1:9" x14ac:dyDescent="0.3">
      <c r="A8" t="s">
        <v>7</v>
      </c>
      <c r="B8">
        <v>10</v>
      </c>
      <c r="D8">
        <v>16335</v>
      </c>
      <c r="G8" s="1">
        <f>I2/D8*B8</f>
        <v>8.0984389348025712</v>
      </c>
    </row>
    <row r="11" spans="1:9" x14ac:dyDescent="0.3">
      <c r="A11" t="s">
        <v>8</v>
      </c>
      <c r="B11">
        <v>10</v>
      </c>
      <c r="D11">
        <v>18332</v>
      </c>
      <c r="G11" s="1">
        <f>B11*$I$2/D11</f>
        <v>7.216233907920576</v>
      </c>
    </row>
    <row r="12" spans="1:9" x14ac:dyDescent="0.3">
      <c r="A12" t="s">
        <v>9</v>
      </c>
      <c r="B12">
        <v>10</v>
      </c>
      <c r="D12">
        <v>14248</v>
      </c>
      <c r="G12" s="1">
        <f t="shared" ref="G12:G13" si="1">B12*$I$2/D12</f>
        <v>9.2846715328467155</v>
      </c>
    </row>
    <row r="13" spans="1:9" x14ac:dyDescent="0.3">
      <c r="A13" t="s">
        <v>10</v>
      </c>
      <c r="B13">
        <v>10</v>
      </c>
      <c r="D13">
        <v>5310</v>
      </c>
      <c r="G13" s="1">
        <f t="shared" si="1"/>
        <v>24.912994350282485</v>
      </c>
    </row>
    <row r="15" spans="1:9" x14ac:dyDescent="0.3">
      <c r="A15" t="s">
        <v>11</v>
      </c>
      <c r="G15" s="1">
        <v>25</v>
      </c>
    </row>
    <row r="16" spans="1:9" x14ac:dyDescent="0.3">
      <c r="A16" t="s">
        <v>12</v>
      </c>
      <c r="G16" s="1">
        <v>25</v>
      </c>
    </row>
    <row r="17" spans="1:7" x14ac:dyDescent="0.3">
      <c r="A17" t="s">
        <v>13</v>
      </c>
      <c r="G17" s="1">
        <v>25</v>
      </c>
    </row>
    <row r="18" spans="1:7" x14ac:dyDescent="0.3">
      <c r="A18" t="s">
        <v>15</v>
      </c>
      <c r="G18" s="1">
        <v>25</v>
      </c>
    </row>
    <row r="19" spans="1:7" x14ac:dyDescent="0.3">
      <c r="A19" t="s">
        <v>0</v>
      </c>
      <c r="G19" s="1">
        <v>6</v>
      </c>
    </row>
    <row r="20" spans="1:7" x14ac:dyDescent="0.3">
      <c r="A20" t="s">
        <v>1</v>
      </c>
      <c r="G20" s="1">
        <v>6</v>
      </c>
    </row>
    <row r="21" spans="1:7" x14ac:dyDescent="0.3">
      <c r="A21" t="s">
        <v>14</v>
      </c>
      <c r="G21" s="1">
        <v>6</v>
      </c>
    </row>
    <row r="22" spans="1:7" x14ac:dyDescent="0.3">
      <c r="A22" t="s">
        <v>16</v>
      </c>
      <c r="G22" s="1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C174-2A65-4B4C-83A6-CF77AADC940D}">
  <dimension ref="A1:M31"/>
  <sheetViews>
    <sheetView tabSelected="1" topLeftCell="A7" workbookViewId="0">
      <selection activeCell="E30" sqref="E30"/>
    </sheetView>
  </sheetViews>
  <sheetFormatPr defaultColWidth="9.109375" defaultRowHeight="14.4" x14ac:dyDescent="0.3"/>
  <cols>
    <col min="1" max="1" width="15" style="1" bestFit="1" customWidth="1"/>
    <col min="2" max="2" width="9.109375" style="1"/>
    <col min="3" max="3" width="17" style="1" bestFit="1" customWidth="1"/>
    <col min="4" max="5" width="9.109375" style="1"/>
    <col min="6" max="6" width="11.44140625" style="1" bestFit="1" customWidth="1"/>
    <col min="7" max="9" width="9.109375" style="1"/>
    <col min="10" max="10" width="20.5546875" style="1" bestFit="1" customWidth="1"/>
    <col min="11" max="16384" width="9.109375" style="1"/>
  </cols>
  <sheetData>
    <row r="1" spans="1:13" x14ac:dyDescent="0.3">
      <c r="A1" s="1" t="s">
        <v>35</v>
      </c>
      <c r="B1" s="1" t="s">
        <v>33</v>
      </c>
      <c r="C1" s="1" t="s">
        <v>34</v>
      </c>
      <c r="F1" s="1" t="s">
        <v>39</v>
      </c>
      <c r="G1" s="1">
        <v>13228.8</v>
      </c>
      <c r="J1" s="1" t="s">
        <v>36</v>
      </c>
    </row>
    <row r="2" spans="1:13" x14ac:dyDescent="0.3">
      <c r="A2" s="1" t="s">
        <v>17</v>
      </c>
      <c r="B2" s="1">
        <v>10</v>
      </c>
      <c r="C2" s="1">
        <v>4695</v>
      </c>
      <c r="D2" s="1">
        <f>B2*$G$1/C2</f>
        <v>28.176357827476039</v>
      </c>
      <c r="J2" t="s">
        <v>4</v>
      </c>
      <c r="K2">
        <v>10</v>
      </c>
      <c r="L2">
        <v>7.9</v>
      </c>
      <c r="M2">
        <v>2604</v>
      </c>
    </row>
    <row r="3" spans="1:13" x14ac:dyDescent="0.3">
      <c r="A3" s="1" t="s">
        <v>18</v>
      </c>
      <c r="B3" s="1">
        <v>10</v>
      </c>
      <c r="J3" t="s">
        <v>6</v>
      </c>
      <c r="K3">
        <v>10</v>
      </c>
      <c r="L3">
        <v>2.5</v>
      </c>
      <c r="M3">
        <v>1978</v>
      </c>
    </row>
    <row r="4" spans="1:13" x14ac:dyDescent="0.3">
      <c r="A4" s="1" t="s">
        <v>19</v>
      </c>
      <c r="B4" s="1">
        <v>10</v>
      </c>
      <c r="J4" t="s">
        <v>7</v>
      </c>
      <c r="K4">
        <v>10</v>
      </c>
      <c r="L4"/>
      <c r="M4">
        <v>16335</v>
      </c>
    </row>
    <row r="5" spans="1:13" x14ac:dyDescent="0.3">
      <c r="A5" s="1" t="s">
        <v>20</v>
      </c>
      <c r="B5" s="1">
        <v>10</v>
      </c>
    </row>
    <row r="6" spans="1:13" x14ac:dyDescent="0.3">
      <c r="A6" s="1" t="s">
        <v>21</v>
      </c>
      <c r="B6" s="1">
        <v>10</v>
      </c>
      <c r="C6" s="1">
        <v>21894</v>
      </c>
      <c r="D6" s="1">
        <f t="shared" ref="D6:D31" si="0">B6*$G$1/C6</f>
        <v>6.0422033433817486</v>
      </c>
    </row>
    <row r="7" spans="1:13" x14ac:dyDescent="0.3">
      <c r="A7" s="1" t="s">
        <v>22</v>
      </c>
      <c r="B7" s="1">
        <v>10</v>
      </c>
    </row>
    <row r="8" spans="1:13" x14ac:dyDescent="0.3">
      <c r="A8" s="1" t="s">
        <v>23</v>
      </c>
      <c r="B8" s="1">
        <v>10</v>
      </c>
    </row>
    <row r="9" spans="1:13" x14ac:dyDescent="0.3">
      <c r="A9" s="1" t="s">
        <v>24</v>
      </c>
      <c r="B9" s="1">
        <v>10</v>
      </c>
    </row>
    <row r="10" spans="1:13" x14ac:dyDescent="0.3">
      <c r="A10" s="1" t="s">
        <v>25</v>
      </c>
      <c r="B10" s="1">
        <v>10</v>
      </c>
      <c r="C10" s="1" t="s">
        <v>37</v>
      </c>
    </row>
    <row r="11" spans="1:13" x14ac:dyDescent="0.3">
      <c r="A11" s="1" t="s">
        <v>26</v>
      </c>
      <c r="B11" s="1">
        <v>10</v>
      </c>
      <c r="C11" s="1" t="s">
        <v>38</v>
      </c>
    </row>
    <row r="12" spans="1:13" x14ac:dyDescent="0.3">
      <c r="A12" s="1" t="s">
        <v>27</v>
      </c>
      <c r="B12" s="1">
        <v>10</v>
      </c>
      <c r="C12" s="1">
        <v>2604</v>
      </c>
      <c r="D12" s="1">
        <f t="shared" si="0"/>
        <v>50.801843317972349</v>
      </c>
    </row>
    <row r="13" spans="1:13" x14ac:dyDescent="0.3">
      <c r="A13" s="1" t="s">
        <v>28</v>
      </c>
      <c r="B13" s="1">
        <v>10</v>
      </c>
      <c r="C13" s="1">
        <v>1978</v>
      </c>
      <c r="D13" s="1">
        <f t="shared" si="0"/>
        <v>66.879676440849337</v>
      </c>
    </row>
    <row r="14" spans="1:13" x14ac:dyDescent="0.3">
      <c r="A14" s="1" t="s">
        <v>29</v>
      </c>
      <c r="B14" s="1">
        <v>10</v>
      </c>
      <c r="C14" s="1">
        <v>16335</v>
      </c>
      <c r="D14" s="1">
        <f t="shared" si="0"/>
        <v>8.0984389348025712</v>
      </c>
    </row>
    <row r="15" spans="1:13" x14ac:dyDescent="0.3">
      <c r="A15" s="1" t="s">
        <v>8</v>
      </c>
      <c r="B15" s="1">
        <v>10</v>
      </c>
      <c r="C15" s="1">
        <v>18351</v>
      </c>
      <c r="D15" s="1">
        <f t="shared" si="0"/>
        <v>7.2087624652607492</v>
      </c>
    </row>
    <row r="16" spans="1:13" x14ac:dyDescent="0.3">
      <c r="A16" s="1" t="s">
        <v>30</v>
      </c>
      <c r="B16" s="1">
        <v>10</v>
      </c>
      <c r="C16" s="1">
        <v>5311</v>
      </c>
      <c r="D16" s="1">
        <f t="shared" si="0"/>
        <v>24.908303520994163</v>
      </c>
    </row>
    <row r="17" spans="1:4" x14ac:dyDescent="0.3">
      <c r="A17" s="1" t="s">
        <v>31</v>
      </c>
      <c r="B17" s="1">
        <v>10</v>
      </c>
      <c r="C17" s="1">
        <v>14204</v>
      </c>
      <c r="D17" s="1">
        <f t="shared" si="0"/>
        <v>9.3134328358208958</v>
      </c>
    </row>
    <row r="18" spans="1:4" x14ac:dyDescent="0.3">
      <c r="A18" s="1" t="s">
        <v>32</v>
      </c>
      <c r="B18" s="1">
        <v>10</v>
      </c>
      <c r="C18" s="1">
        <v>5793</v>
      </c>
      <c r="D18" s="1">
        <f t="shared" si="0"/>
        <v>22.835836354220611</v>
      </c>
    </row>
    <row r="19" spans="1:4" x14ac:dyDescent="0.3">
      <c r="A19" s="1" t="s">
        <v>40</v>
      </c>
      <c r="B19" s="1">
        <v>10</v>
      </c>
      <c r="C19" s="1">
        <v>1788</v>
      </c>
      <c r="D19" s="1">
        <f t="shared" si="0"/>
        <v>73.986577181208048</v>
      </c>
    </row>
    <row r="20" spans="1:4" x14ac:dyDescent="0.3">
      <c r="A20" s="1" t="s">
        <v>41</v>
      </c>
      <c r="B20" s="1">
        <v>10</v>
      </c>
      <c r="C20" s="1">
        <v>8962</v>
      </c>
      <c r="D20" s="1">
        <f t="shared" si="0"/>
        <v>14.76099085025664</v>
      </c>
    </row>
    <row r="21" spans="1:4" x14ac:dyDescent="0.3">
      <c r="A21" s="1" t="s">
        <v>42</v>
      </c>
      <c r="B21" s="1">
        <v>10</v>
      </c>
      <c r="C21" s="1" t="s">
        <v>38</v>
      </c>
    </row>
    <row r="22" spans="1:4" x14ac:dyDescent="0.3">
      <c r="A22" s="1" t="s">
        <v>45</v>
      </c>
      <c r="B22" s="1">
        <v>10</v>
      </c>
      <c r="C22" s="1">
        <v>5930</v>
      </c>
      <c r="D22" s="1">
        <f t="shared" si="0"/>
        <v>22.308263069139965</v>
      </c>
    </row>
    <row r="23" spans="1:4" x14ac:dyDescent="0.3">
      <c r="A23" s="1" t="s">
        <v>43</v>
      </c>
      <c r="B23" s="1">
        <v>10</v>
      </c>
      <c r="C23" s="1">
        <v>16033</v>
      </c>
      <c r="D23" s="1">
        <f t="shared" si="0"/>
        <v>8.2509823489053833</v>
      </c>
    </row>
    <row r="24" spans="1:4" x14ac:dyDescent="0.3">
      <c r="A24" s="1" t="s">
        <v>46</v>
      </c>
      <c r="B24" s="1">
        <v>10</v>
      </c>
      <c r="C24" s="1" t="s">
        <v>47</v>
      </c>
    </row>
    <row r="25" spans="1:4" x14ac:dyDescent="0.3">
      <c r="A25" s="1" t="s">
        <v>44</v>
      </c>
      <c r="B25" s="1">
        <v>10</v>
      </c>
      <c r="C25" s="1">
        <v>20790</v>
      </c>
      <c r="D25" s="1">
        <f t="shared" si="0"/>
        <v>6.3630591630591633</v>
      </c>
    </row>
    <row r="26" spans="1:4" x14ac:dyDescent="0.3">
      <c r="A26" s="1" t="s">
        <v>48</v>
      </c>
      <c r="B26" s="1">
        <v>10</v>
      </c>
      <c r="C26" s="1">
        <v>135764</v>
      </c>
      <c r="D26" s="1">
        <f t="shared" si="0"/>
        <v>0.97439674729677972</v>
      </c>
    </row>
    <row r="27" spans="1:4" x14ac:dyDescent="0.3">
      <c r="A27" s="1" t="s">
        <v>49</v>
      </c>
      <c r="B27" s="1">
        <v>10</v>
      </c>
      <c r="C27" s="1">
        <v>20947</v>
      </c>
      <c r="D27" s="1">
        <f t="shared" si="0"/>
        <v>6.3153673557072612</v>
      </c>
    </row>
    <row r="28" spans="1:4" x14ac:dyDescent="0.3">
      <c r="A28" s="1" t="s">
        <v>2</v>
      </c>
      <c r="B28" s="1">
        <v>10</v>
      </c>
      <c r="C28" s="1">
        <v>6669</v>
      </c>
      <c r="D28" s="1">
        <f t="shared" si="0"/>
        <v>19.836257309941519</v>
      </c>
    </row>
    <row r="29" spans="1:4" x14ac:dyDescent="0.3">
      <c r="A29" s="1" t="s">
        <v>50</v>
      </c>
      <c r="B29" s="1">
        <v>10</v>
      </c>
      <c r="C29" s="1">
        <v>9613</v>
      </c>
      <c r="D29" s="1">
        <f t="shared" si="0"/>
        <v>13.761364818474982</v>
      </c>
    </row>
    <row r="30" spans="1:4" x14ac:dyDescent="0.3">
      <c r="A30" s="1" t="s">
        <v>51</v>
      </c>
      <c r="B30" s="1">
        <v>10</v>
      </c>
      <c r="C30" s="1">
        <v>7000</v>
      </c>
      <c r="D30" s="1">
        <f t="shared" si="0"/>
        <v>18.898285714285713</v>
      </c>
    </row>
    <row r="31" spans="1:4" x14ac:dyDescent="0.3">
      <c r="A31" s="1" t="s">
        <v>52</v>
      </c>
      <c r="B31" s="1">
        <v>10</v>
      </c>
      <c r="C31" s="1">
        <v>6296</v>
      </c>
      <c r="D31" s="1">
        <f t="shared" si="0"/>
        <v>21.011435832274461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2025-11-20T09:15:58Z</dcterms:modified>
</cp:coreProperties>
</file>